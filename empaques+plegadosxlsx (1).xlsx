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adriana_camacho_vw_com_mx/Documents/Documentos/DISCO_D/1.-SCM/3 ITESM/2DO RETO ENE MARZO 2026/"/>
    </mc:Choice>
  </mc:AlternateContent>
  <xr:revisionPtr revIDLastSave="0" documentId="8_{486D0287-F1C3-47D7-B8C9-485555FBBC8B}" xr6:coauthVersionLast="47" xr6:coauthVersionMax="47" xr10:uidLastSave="{00000000-0000-0000-0000-000000000000}"/>
  <bookViews>
    <workbookView xWindow="-108" yWindow="-108" windowWidth="23256" windowHeight="12456" xr2:uid="{394EC74D-AB8D-416E-A4A5-37D32019ACCA}"/>
  </bookViews>
  <sheets>
    <sheet name="Hoja1" sheetId="1" r:id="rId1"/>
  </sheets>
  <calcPr calcId="191029" iterateCount="5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6" i="1"/>
  <c r="J6" i="1"/>
  <c r="K5" i="1"/>
  <c r="J5" i="1"/>
  <c r="K4" i="1"/>
  <c r="J4" i="1"/>
  <c r="J3" i="1"/>
</calcChain>
</file>

<file path=xl/sharedStrings.xml><?xml version="1.0" encoding="utf-8"?>
<sst xmlns="http://schemas.openxmlformats.org/spreadsheetml/2006/main" count="42" uniqueCount="23">
  <si>
    <t>Lison</t>
  </si>
  <si>
    <t>VACIOS_ ID</t>
  </si>
  <si>
    <t>Retornable/desechable</t>
  </si>
  <si>
    <t>Colapsable / No colapsable</t>
  </si>
  <si>
    <t>Largo m</t>
  </si>
  <si>
    <t>Ancho m</t>
  </si>
  <si>
    <t>Alto m</t>
  </si>
  <si>
    <t>Altura plegada</t>
  </si>
  <si>
    <t>m3 total</t>
  </si>
  <si>
    <t>m3 plegado</t>
  </si>
  <si>
    <t>Tara kg</t>
  </si>
  <si>
    <t>Peso max kg</t>
  </si>
  <si>
    <t>TAPA</t>
  </si>
  <si>
    <t>Niveles</t>
  </si>
  <si>
    <t>Cantidad</t>
  </si>
  <si>
    <t>Total</t>
  </si>
  <si>
    <t>BASE</t>
  </si>
  <si>
    <t>KLT</t>
  </si>
  <si>
    <t>INSERTO 2</t>
  </si>
  <si>
    <t>INSERTO 3</t>
  </si>
  <si>
    <t>Retornable</t>
  </si>
  <si>
    <t>Colapsable</t>
  </si>
  <si>
    <t>A153754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</si>
</sst>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9A6B-BEE1-4376-A7CA-692E3C1BD333}">
  <dimension ref="A1:AG6"/>
  <sheetViews>
    <sheetView tabSelected="1" workbookViewId="0">
      <selection activeCell="G15" sqref="G15"/>
    </sheetView>
  </sheetViews>
  <sheetFormatPr baseColWidth="10" defaultRowHeight="15" x14ac:dyDescent="0.25"/>
  <cols>
    <col min="4" max="4" width="23.85546875" customWidth="1"/>
    <col min="5" max="5" width="17.42578125" customWidth="1"/>
    <col min="9" max="9" width="16.140625" customWidth="1"/>
  </cols>
  <sheetData>
    <row r="1" spans="1:33" ht="15.75" thickBot="1" x14ac:dyDescent="0.3">
      <c r="I1" s="18"/>
      <c r="K1" s="18"/>
    </row>
    <row r="2" spans="1:33" ht="15.75" thickBot="1" x14ac:dyDescent="0.3">
      <c r="B2" s="1" t="s">
        <v>0</v>
      </c>
      <c r="C2" s="1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9" t="s">
        <v>7</v>
      </c>
      <c r="J2" s="2" t="s">
        <v>8</v>
      </c>
      <c r="K2" s="19" t="s">
        <v>9</v>
      </c>
      <c r="L2" s="1" t="s">
        <v>10</v>
      </c>
      <c r="M2" s="1" t="s">
        <v>11</v>
      </c>
      <c r="N2" s="3" t="s">
        <v>12</v>
      </c>
      <c r="O2" s="4" t="s">
        <v>13</v>
      </c>
      <c r="P2" s="4" t="s">
        <v>14</v>
      </c>
      <c r="Q2" s="5" t="s">
        <v>15</v>
      </c>
      <c r="R2" s="6" t="s">
        <v>16</v>
      </c>
      <c r="S2" s="7" t="s">
        <v>13</v>
      </c>
      <c r="T2" s="7" t="s">
        <v>14</v>
      </c>
      <c r="U2" s="8" t="s">
        <v>15</v>
      </c>
      <c r="V2" s="3" t="s">
        <v>17</v>
      </c>
      <c r="W2" s="4" t="s">
        <v>13</v>
      </c>
      <c r="X2" s="4" t="s">
        <v>14</v>
      </c>
      <c r="Y2" s="5" t="s">
        <v>15</v>
      </c>
      <c r="Z2" s="6" t="s">
        <v>18</v>
      </c>
      <c r="AA2" s="7" t="s">
        <v>13</v>
      </c>
      <c r="AB2" s="7" t="s">
        <v>14</v>
      </c>
      <c r="AC2" s="8" t="s">
        <v>15</v>
      </c>
      <c r="AD2" s="9" t="s">
        <v>19</v>
      </c>
      <c r="AE2" s="4" t="s">
        <v>13</v>
      </c>
      <c r="AF2" s="4" t="s">
        <v>14</v>
      </c>
      <c r="AG2" s="5" t="s">
        <v>15</v>
      </c>
    </row>
    <row r="3" spans="1:33" x14ac:dyDescent="0.25">
      <c r="A3">
        <v>1</v>
      </c>
      <c r="B3" s="10">
        <v>500554</v>
      </c>
      <c r="C3" s="10">
        <v>500554</v>
      </c>
      <c r="D3" s="11" t="s">
        <v>20</v>
      </c>
      <c r="E3" s="10" t="s">
        <v>21</v>
      </c>
      <c r="F3" s="12">
        <v>1.45</v>
      </c>
      <c r="G3" s="13">
        <v>1.1299999999999999</v>
      </c>
      <c r="H3" s="13">
        <v>0.745</v>
      </c>
      <c r="I3" s="11">
        <v>0.27500000000000002</v>
      </c>
      <c r="J3" s="14">
        <f t="shared" ref="J3:J6" si="0">F3*G3*H3</f>
        <v>1.2206824999999999</v>
      </c>
      <c r="K3" s="14">
        <f>IF(I3&gt;0,F3*G3*I3,0)</f>
        <v>0.45058749999999997</v>
      </c>
      <c r="L3" s="13">
        <v>60</v>
      </c>
      <c r="M3" s="11">
        <v>60</v>
      </c>
      <c r="N3" s="15"/>
      <c r="O3" s="16"/>
      <c r="P3" s="16"/>
      <c r="Q3" s="17"/>
      <c r="R3" s="15"/>
      <c r="S3" s="16"/>
      <c r="T3" s="16"/>
      <c r="U3" s="17"/>
      <c r="V3" s="15"/>
      <c r="W3" s="16"/>
      <c r="X3" s="16"/>
      <c r="Y3" s="17"/>
      <c r="Z3" s="15"/>
      <c r="AA3" s="16"/>
      <c r="AB3" s="16"/>
      <c r="AC3" s="17"/>
      <c r="AD3" s="16"/>
      <c r="AE3" s="16"/>
      <c r="AF3" s="16"/>
      <c r="AG3" s="17"/>
    </row>
    <row r="4" spans="1:33" ht="11.25" customHeight="1" x14ac:dyDescent="0.25">
      <c r="A4">
        <v>1</v>
      </c>
      <c r="B4" s="10" t="s">
        <v>22</v>
      </c>
      <c r="C4" s="10" t="s">
        <v>22</v>
      </c>
      <c r="D4" s="11" t="s">
        <v>20</v>
      </c>
      <c r="E4" s="10" t="s">
        <v>21</v>
      </c>
      <c r="F4" s="12">
        <v>1.45</v>
      </c>
      <c r="G4" s="13">
        <v>1.1299999999999999</v>
      </c>
      <c r="H4" s="13">
        <v>0.75</v>
      </c>
      <c r="I4" s="11">
        <v>0.31</v>
      </c>
      <c r="J4" s="14">
        <f t="shared" si="0"/>
        <v>1.2288749999999999</v>
      </c>
      <c r="K4" s="14">
        <f t="shared" ref="K3:K6" si="1">IF(I4&gt;0,F4*G4*I4,0)</f>
        <v>0.50793499999999991</v>
      </c>
      <c r="L4" s="13">
        <v>50</v>
      </c>
      <c r="M4" s="11">
        <v>50</v>
      </c>
      <c r="N4" s="15"/>
      <c r="O4" s="16"/>
      <c r="P4" s="16"/>
      <c r="Q4" s="17"/>
      <c r="R4" s="15"/>
      <c r="S4" s="16"/>
      <c r="T4" s="16"/>
      <c r="U4" s="17"/>
      <c r="V4" s="15"/>
      <c r="W4" s="16"/>
      <c r="X4" s="16"/>
      <c r="Y4" s="17"/>
      <c r="Z4" s="15"/>
      <c r="AA4" s="16"/>
      <c r="AB4" s="16"/>
      <c r="AC4" s="17"/>
      <c r="AD4" s="16"/>
      <c r="AE4" s="16"/>
      <c r="AF4" s="16"/>
      <c r="AG4" s="17"/>
    </row>
    <row r="5" spans="1:33" x14ac:dyDescent="0.25">
      <c r="A5">
        <v>1</v>
      </c>
      <c r="B5" s="10">
        <v>660046</v>
      </c>
      <c r="C5" s="10">
        <v>660046</v>
      </c>
      <c r="D5" s="11" t="s">
        <v>20</v>
      </c>
      <c r="E5" s="10" t="s">
        <v>21</v>
      </c>
      <c r="F5" s="12">
        <v>1.2190000000000001</v>
      </c>
      <c r="G5" s="13">
        <v>1.143</v>
      </c>
      <c r="H5" s="13">
        <v>0.86399999999999999</v>
      </c>
      <c r="I5" s="11">
        <v>0.33200000000000002</v>
      </c>
      <c r="J5" s="14">
        <f t="shared" si="0"/>
        <v>1.2038258880000001</v>
      </c>
      <c r="K5" s="14">
        <f t="shared" si="1"/>
        <v>0.46258124400000006</v>
      </c>
      <c r="L5" s="13">
        <v>10</v>
      </c>
      <c r="M5" s="11">
        <v>10</v>
      </c>
      <c r="N5" s="15"/>
      <c r="O5" s="16"/>
      <c r="P5" s="16"/>
      <c r="Q5" s="17"/>
      <c r="R5" s="15"/>
      <c r="S5" s="16"/>
      <c r="T5" s="16"/>
      <c r="U5" s="17"/>
      <c r="V5" s="15"/>
      <c r="W5" s="16"/>
      <c r="X5" s="16"/>
      <c r="Y5" s="17"/>
      <c r="Z5" s="15"/>
      <c r="AA5" s="16"/>
      <c r="AB5" s="16"/>
      <c r="AC5" s="17"/>
      <c r="AD5" s="16"/>
      <c r="AE5" s="16"/>
      <c r="AF5" s="16"/>
      <c r="AG5" s="17"/>
    </row>
    <row r="6" spans="1:33" x14ac:dyDescent="0.25">
      <c r="A6">
        <v>1</v>
      </c>
      <c r="B6" s="10">
        <v>660053</v>
      </c>
      <c r="C6" s="10">
        <v>660053</v>
      </c>
      <c r="D6" s="11" t="s">
        <v>20</v>
      </c>
      <c r="E6" s="10" t="s">
        <v>21</v>
      </c>
      <c r="F6" s="12">
        <v>1.6379999999999999</v>
      </c>
      <c r="G6" s="13">
        <v>1.2190000000000001</v>
      </c>
      <c r="H6" s="13">
        <v>0.86399999999999999</v>
      </c>
      <c r="I6" s="11">
        <v>0.33800000000000002</v>
      </c>
      <c r="J6" s="14">
        <f t="shared" si="0"/>
        <v>1.7251678080000001</v>
      </c>
      <c r="K6" s="14">
        <f t="shared" si="1"/>
        <v>0.67489203600000003</v>
      </c>
      <c r="L6" s="13">
        <v>80.7</v>
      </c>
      <c r="M6" s="11">
        <v>80.7</v>
      </c>
      <c r="N6" s="15"/>
      <c r="O6" s="16"/>
      <c r="P6" s="16"/>
      <c r="Q6" s="17"/>
      <c r="R6" s="15"/>
      <c r="S6" s="16"/>
      <c r="T6" s="16"/>
      <c r="U6" s="17"/>
      <c r="V6" s="15"/>
      <c r="W6" s="16"/>
      <c r="X6" s="16"/>
      <c r="Y6" s="17"/>
      <c r="Z6" s="15"/>
      <c r="AA6" s="16"/>
      <c r="AB6" s="16"/>
      <c r="AC6" s="17"/>
      <c r="AD6" s="16"/>
      <c r="AE6" s="16"/>
      <c r="AF6" s="16"/>
      <c r="AG6" s="17"/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Camacho Mora, Adriana (M-PLL/5)</dc:creator>
  <cp:lastModifiedBy>Camacho Mora, Adriana (M-PLL/5)</cp:lastModifiedBy>
  <dcterms:created xsi:type="dcterms:W3CDTF">2026-02-24T16:33:05Z</dcterms:created>
  <dcterms:modified xsi:type="dcterms:W3CDTF">2026-02-24T16:36:58Z</dcterms:modified>
</cp:coreProperties>
</file>